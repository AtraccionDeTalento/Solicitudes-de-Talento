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eo" sheetId="1" state="visible" r:id="rId1"/>
    <sheet xmlns:r="http://schemas.openxmlformats.org/officeDocument/2006/relationships" name="BPs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Áreas" sheetId="4" state="visible" r:id="rId4"/>
  </sheets>
  <definedNames>
    <definedName name="_xlnm._FilterDatabase" localSheetId="3" hidden="1">'Áreas'!$A$1:$C$76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00195A"/>
      </patternFill>
    </fill>
    <fill>
      <patternFill patternType="solid">
        <fgColor rgb="00FFF4C2"/>
      </patternFill>
    </fill>
    <fill>
      <patternFill patternType="solid">
        <fgColor rgb="00EEF2FD"/>
      </patternFill>
    </fill>
  </fills>
  <borders count="2">
    <border>
      <left/>
      <right/>
      <top/>
      <bottom/>
      <diagonal/>
    </border>
    <border>
      <left style="thin">
        <color rgb="00D9E1F5"/>
      </left>
      <right style="thin">
        <color rgb="00D9E1F5"/>
      </right>
      <top style="thin">
        <color rgb="00D9E1F5"/>
      </top>
      <bottom style="thin">
        <color rgb="00D9E1F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30" customWidth="1" min="3" max="3"/>
    <col width="34" customWidth="1" min="4" max="4"/>
    <col width="18" customWidth="1" min="5" max="5"/>
  </cols>
  <sheetData>
    <row r="1">
      <c r="A1" s="1" t="inlineStr">
        <is>
          <t>Departamento</t>
        </is>
      </c>
      <c r="B1" s="1" t="inlineStr">
        <is>
          <t>Área (* = todas las áreas)</t>
        </is>
      </c>
      <c r="C1" s="1" t="inlineStr">
        <is>
          <t>Nombre del BP (elige de la lista)</t>
        </is>
      </c>
      <c r="D1" s="1" t="inlineStr">
        <is>
          <t>Correo del BP (automático)</t>
        </is>
      </c>
      <c r="E1" s="1" t="inlineStr">
        <is>
          <t>Colaboradores (referencia)</t>
        </is>
      </c>
    </row>
    <row r="2">
      <c r="A2" s="2" t="inlineStr">
        <is>
          <t>VICERRECTORADO ACADEMICO</t>
        </is>
      </c>
      <c r="B2" s="2" t="inlineStr">
        <is>
          <t>*</t>
        </is>
      </c>
      <c r="C2" s="3" t="inlineStr"/>
      <c r="D2" s="2">
        <f>IF(C2="","",IFERROR(VLOOKUP(C2,BPs!A:B,2,FALSE),""))</f>
        <v/>
      </c>
      <c r="E2" s="4" t="n">
        <v>2102</v>
      </c>
    </row>
    <row r="3">
      <c r="A3" s="2" t="inlineStr">
        <is>
          <t>ESCUELA DE POSGRADO</t>
        </is>
      </c>
      <c r="B3" s="2" t="inlineStr">
        <is>
          <t>*</t>
        </is>
      </c>
      <c r="C3" s="3" t="inlineStr"/>
      <c r="D3" s="2">
        <f>IF(C3="","",IFERROR(VLOOKUP(C3,BPs!A:B,2,FALSE),""))</f>
        <v/>
      </c>
      <c r="E3" s="4" t="n">
        <v>719</v>
      </c>
    </row>
    <row r="4">
      <c r="A4" s="2" t="inlineStr">
        <is>
          <t>DIRECCION GENERAL DEL CSIR</t>
        </is>
      </c>
      <c r="B4" s="2" t="inlineStr">
        <is>
          <t>*</t>
        </is>
      </c>
      <c r="C4" s="3" t="inlineStr"/>
      <c r="D4" s="2">
        <f>IF(C4="","",IFERROR(VLOOKUP(C4,BPs!A:B,2,FALSE),""))</f>
        <v/>
      </c>
      <c r="E4" s="4" t="n">
        <v>322</v>
      </c>
    </row>
    <row r="5">
      <c r="A5" s="2" t="inlineStr">
        <is>
          <t>VICEPRESIDENCIA SENIOR</t>
        </is>
      </c>
      <c r="B5" s="2" t="inlineStr">
        <is>
          <t>*</t>
        </is>
      </c>
      <c r="C5" s="3" t="inlineStr"/>
      <c r="D5" s="2">
        <f>IF(C5="","",IFERROR(VLOOKUP(C5,BPs!A:B,2,FALSE),""))</f>
        <v/>
      </c>
      <c r="E5" s="4" t="n">
        <v>291</v>
      </c>
    </row>
    <row r="6">
      <c r="A6" s="2" t="inlineStr">
        <is>
          <t>RECTORADO</t>
        </is>
      </c>
      <c r="B6" s="2" t="inlineStr">
        <is>
          <t>*</t>
        </is>
      </c>
      <c r="C6" s="3" t="inlineStr"/>
      <c r="D6" s="2">
        <f>IF(C6="","",IFERROR(VLOOKUP(C6,BPs!A:B,2,FALSE),""))</f>
        <v/>
      </c>
      <c r="E6" s="4" t="n">
        <v>252</v>
      </c>
    </row>
    <row r="7">
      <c r="A7" s="2" t="inlineStr">
        <is>
          <t>GERENCIA DE ADMINISTRACION Y SEGURIDAD</t>
        </is>
      </c>
      <c r="B7" s="2" t="inlineStr">
        <is>
          <t>*</t>
        </is>
      </c>
      <c r="C7" s="3" t="inlineStr"/>
      <c r="D7" s="2">
        <f>IF(C7="","",IFERROR(VLOOKUP(C7,BPs!A:B,2,FALSE),""))</f>
        <v/>
      </c>
      <c r="E7" s="4" t="n">
        <v>156</v>
      </c>
    </row>
    <row r="8">
      <c r="A8" s="2" t="inlineStr">
        <is>
          <t>DIRECCION GENERAL DE SEDES DESCENTRALIZADAS</t>
        </is>
      </c>
      <c r="B8" s="2" t="inlineStr">
        <is>
          <t>*</t>
        </is>
      </c>
      <c r="C8" s="3" t="inlineStr"/>
      <c r="D8" s="2">
        <f>IF(C8="","",IFERROR(VLOOKUP(C8,BPs!A:B,2,FALSE),""))</f>
        <v/>
      </c>
      <c r="E8" s="4" t="n">
        <v>154</v>
      </c>
    </row>
    <row r="9">
      <c r="A9" s="2" t="inlineStr">
        <is>
          <t>GERENCIA SENIOR DE FINANZAS</t>
        </is>
      </c>
      <c r="B9" s="2" t="inlineStr">
        <is>
          <t>*</t>
        </is>
      </c>
      <c r="C9" s="3" t="inlineStr"/>
      <c r="D9" s="2">
        <f>IF(C9="","",IFERROR(VLOOKUP(C9,BPs!A:B,2,FALSE),""))</f>
        <v/>
      </c>
      <c r="E9" s="4" t="n">
        <v>101</v>
      </c>
    </row>
    <row r="10">
      <c r="A10" s="2" t="inlineStr">
        <is>
          <t>VICEPRESIDENCIA DE COMUNICACIONES E INNOVACION DIG</t>
        </is>
      </c>
      <c r="B10" s="2" t="inlineStr">
        <is>
          <t>*</t>
        </is>
      </c>
      <c r="C10" s="3" t="inlineStr"/>
      <c r="D10" s="2">
        <f>IF(C10="","",IFERROR(VLOOKUP(C10,BPs!A:B,2,FALSE),""))</f>
        <v/>
      </c>
      <c r="E10" s="4" t="n">
        <v>86</v>
      </c>
    </row>
    <row r="11">
      <c r="A11" s="2" t="inlineStr">
        <is>
          <t>VICERRECTORADO DE INVESTIGACION</t>
        </is>
      </c>
      <c r="B11" s="2" t="inlineStr">
        <is>
          <t>*</t>
        </is>
      </c>
      <c r="C11" s="3" t="inlineStr"/>
      <c r="D11" s="2">
        <f>IF(C11="","",IFERROR(VLOOKUP(C11,BPs!A:B,2,FALSE),""))</f>
        <v/>
      </c>
      <c r="E11" s="4" t="n">
        <v>58</v>
      </c>
    </row>
    <row r="12">
      <c r="A12" s="2" t="inlineStr">
        <is>
          <t>GERENCIA DE TALENTO Y CULTURA</t>
        </is>
      </c>
      <c r="B12" s="2" t="inlineStr">
        <is>
          <t>*</t>
        </is>
      </c>
      <c r="C12" s="3" t="inlineStr"/>
      <c r="D12" s="2">
        <f>IF(C12="","",IFERROR(VLOOKUP(C12,BPs!A:B,2,FALSE),""))</f>
        <v/>
      </c>
      <c r="E12" s="4" t="n">
        <v>46</v>
      </c>
    </row>
    <row r="13">
      <c r="A13" s="2" t="inlineStr">
        <is>
          <t>GERENCIA LEGAL</t>
        </is>
      </c>
      <c r="B13" s="2" t="inlineStr">
        <is>
          <t>*</t>
        </is>
      </c>
      <c r="C13" s="3" t="inlineStr"/>
      <c r="D13" s="2">
        <f>IF(C13="","",IFERROR(VLOOKUP(C13,BPs!A:B,2,FALSE),""))</f>
        <v/>
      </c>
      <c r="E13" s="4" t="n">
        <v>25</v>
      </c>
    </row>
    <row r="14">
      <c r="A14" s="2" t="inlineStr">
        <is>
          <t>PRESIDENCIA EJECUTIVA</t>
        </is>
      </c>
      <c r="B14" s="2" t="inlineStr">
        <is>
          <t>*</t>
        </is>
      </c>
      <c r="C14" s="3" t="inlineStr"/>
      <c r="D14" s="2">
        <f>IF(C14="","",IFERROR(VLOOKUP(C14,BPs!A:B,2,FALSE),""))</f>
        <v/>
      </c>
      <c r="E14" s="4" t="n">
        <v>7</v>
      </c>
    </row>
    <row r="15">
      <c r="A15" s="2" t="inlineStr">
        <is>
          <t>VICEPRESIDENCIA DE ASUNTOS CORPORATIVOS</t>
        </is>
      </c>
      <c r="B15" s="2" t="inlineStr">
        <is>
          <t>*</t>
        </is>
      </c>
      <c r="C15" s="3" t="inlineStr"/>
      <c r="D15" s="2">
        <f>IF(C15="","",IFERROR(VLOOKUP(C15,BPs!A:B,2,FALSE),""))</f>
        <v/>
      </c>
      <c r="E15" s="4" t="n">
        <v>5</v>
      </c>
    </row>
    <row r="16">
      <c r="A16" s="2" t="inlineStr">
        <is>
          <t>GERENCIA GENERAL</t>
        </is>
      </c>
      <c r="B16" s="2" t="inlineStr">
        <is>
          <t>*</t>
        </is>
      </c>
      <c r="C16" s="3" t="inlineStr"/>
      <c r="D16" s="2">
        <f>IF(C16="","",IFERROR(VLOOKUP(C16,BPs!A:B,2,FALSE),""))</f>
        <v/>
      </c>
      <c r="E16" s="4" t="n">
        <v>5</v>
      </c>
    </row>
    <row r="17">
      <c r="A17" s="2" t="inlineStr">
        <is>
          <t>GERENCIA DE PROYECTOS - SEDE PERU</t>
        </is>
      </c>
      <c r="B17" s="2" t="inlineStr">
        <is>
          <t>*</t>
        </is>
      </c>
      <c r="C17" s="3" t="inlineStr"/>
      <c r="D17" s="2">
        <f>IF(C17="","",IFERROR(VLOOKUP(C17,BPs!A:B,2,FALSE),""))</f>
        <v/>
      </c>
      <c r="E17" s="4" t="n">
        <v>1</v>
      </c>
    </row>
  </sheetData>
  <dataValidations count="1">
    <dataValidation sqref="C2:C77" showDropDown="0" showInputMessage="0" showErrorMessage="0" allowBlank="1" type="list">
      <formula1>=BPs!$A$2:$A$30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</cols>
  <sheetData>
    <row r="1">
      <c r="A1" s="5" t="inlineStr">
        <is>
          <t>Nombre del BP</t>
        </is>
      </c>
      <c r="B1" s="5" t="inlineStr">
        <is>
          <t>Correo</t>
        </is>
      </c>
      <c r="C1" s="5" t="inlineStr">
        <is>
          <t>Cargo</t>
        </is>
      </c>
    </row>
    <row r="2">
      <c r="A2" t="inlineStr">
        <is>
          <t>Fátima Salazar</t>
        </is>
      </c>
      <c r="B2" t="inlineStr">
        <is>
          <t>msalazar@usil.edu.pe</t>
        </is>
      </c>
      <c r="C2" t="inlineStr">
        <is>
          <t>Socio de Negocio</t>
        </is>
      </c>
    </row>
    <row r="3">
      <c r="A3" t="inlineStr">
        <is>
          <t>Melissa Higa</t>
        </is>
      </c>
      <c r="B3" t="inlineStr">
        <is>
          <t>mhiga@usil.edu.pe</t>
        </is>
      </c>
      <c r="C3" t="inlineStr">
        <is>
          <t>Socio de Negocio</t>
        </is>
      </c>
    </row>
    <row r="4">
      <c r="A4" t="inlineStr">
        <is>
          <t>Lesley Reyes</t>
        </is>
      </c>
      <c r="B4" t="inlineStr">
        <is>
          <t>lreyes@usil.edu.pe</t>
        </is>
      </c>
      <c r="C4" t="inlineStr">
        <is>
          <t>Socio de Negocio</t>
        </is>
      </c>
    </row>
    <row r="5">
      <c r="A5" t="inlineStr">
        <is>
          <t>Claudia Muñoz</t>
        </is>
      </c>
      <c r="B5" t="inlineStr">
        <is>
          <t>cmunozse@usil.edu.pe</t>
        </is>
      </c>
      <c r="C5" t="inlineStr">
        <is>
          <t>Socio de Negocio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CÓMO LLENAR LA HOJA «Ruteo»</t>
        </is>
      </c>
    </row>
    <row r="2">
      <c r="A2" s="7" t="inlineStr">
        <is>
          <t>1. Cada fila dice qué Business Partner (BP) atiende un departamento. En la columna amarilla elige el BP de la lista; su correo se completa solo (hoja «BPs»).</t>
        </is>
      </c>
    </row>
    <row r="3">
      <c r="A3" s="7" t="inlineStr">
        <is>
          <t>2. Si un departamento lo atienden varios BP según el área, deja la fila con «*» (BP por defecto) y agrega filas nuevas con el MISMO departamento y el nombre exacto del área (ver hoja «Áreas»).</t>
        </is>
      </c>
    </row>
    <row r="4">
      <c r="A4" s="7" t="inlineStr">
        <is>
          <t>3. Regla: la fila más específica gana (Departamento + Área) sobre la general (Departamento + *).</t>
        </is>
      </c>
    </row>
    <row r="5">
      <c r="A5" s="7" t="inlineStr">
        <is>
          <t>4. Si no hay BP para un departamento, la solicitud se envía al coordinador y queda marcada «Sin asignar».</t>
        </is>
      </c>
    </row>
    <row r="6">
      <c r="A6" s="7" t="inlineStr">
        <is>
          <t>5. Cuando termines, pásale este archivo a Claude para cargarlo en el script, o repite la elección en la pestaña «Ruteo» del Google Sheet.</t>
        </is>
      </c>
    </row>
    <row r="7">
      <c r="A7" s="7" t="inlineStr">
        <is>
          <t>BP cargados (Maestro 05-10-2026, Subgerencia de Talento y Cultura, jefe: César Reyes): Fátima Salazar, Melissa Higa, Lesley Reyes y Claudia Muñoz.</t>
        </is>
      </c>
    </row>
    <row r="8">
      <c r="A8" s="7" t="inlineStr">
        <is>
          <t>Los departamentos salen del Maestro del 05-10-2026 (16). La columna «Colaboradores» es solo referencia.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6" customWidth="1" min="3" max="3"/>
  </cols>
  <sheetData>
    <row r="1">
      <c r="A1" s="5" t="inlineStr">
        <is>
          <t>Departamento</t>
        </is>
      </c>
      <c r="B1" s="5" t="inlineStr">
        <is>
          <t>Área</t>
        </is>
      </c>
      <c r="C1" s="5" t="inlineStr">
        <is>
          <t>Colaboradores</t>
        </is>
      </c>
    </row>
    <row r="2">
      <c r="A2" t="inlineStr">
        <is>
          <t>VICERRECTORADO ACADEMICO</t>
        </is>
      </c>
      <c r="B2" t="inlineStr">
        <is>
          <t>FACULTAD DE CIENCIAS DE LA SALUD</t>
        </is>
      </c>
      <c r="C2" t="n">
        <v>631</v>
      </c>
    </row>
    <row r="3">
      <c r="A3" t="inlineStr">
        <is>
          <t>VICERRECTORADO ACADEMICO</t>
        </is>
      </c>
      <c r="B3" t="inlineStr">
        <is>
          <t>FACULTAD DE INGENIERIA E INTELIGENCIA ARTIFICIAL</t>
        </is>
      </c>
      <c r="C3" t="n">
        <v>367</v>
      </c>
    </row>
    <row r="4">
      <c r="A4" t="inlineStr">
        <is>
          <t>VICERRECTORADO ACADEMICO</t>
        </is>
      </c>
      <c r="B4" t="inlineStr">
        <is>
          <t>FACULTAD DE CIENCIAS EMPRESARIALES</t>
        </is>
      </c>
      <c r="C4" t="n">
        <v>247</v>
      </c>
    </row>
    <row r="5">
      <c r="A5" t="inlineStr">
        <is>
          <t>VICERRECTORADO ACADEMICO</t>
        </is>
      </c>
      <c r="B5" t="inlineStr">
        <is>
          <t>DIRECCION PGEX</t>
        </is>
      </c>
      <c r="C5" t="n">
        <v>198</v>
      </c>
    </row>
    <row r="6">
      <c r="A6" t="inlineStr">
        <is>
          <t>VICERRECTORADO ACADEMICO</t>
        </is>
      </c>
      <c r="B6" t="inlineStr">
        <is>
          <t>FACULTAD DE ARTES Y HUMANIDADES</t>
        </is>
      </c>
      <c r="C6" t="n">
        <v>136</v>
      </c>
    </row>
    <row r="7">
      <c r="A7" t="inlineStr">
        <is>
          <t>VICERRECTORADO ACADEMICO</t>
        </is>
      </c>
      <c r="B7" t="inlineStr">
        <is>
          <t>FACULTAD ADM HOTELE TURIS Y GASTRO</t>
        </is>
      </c>
      <c r="C7" t="n">
        <v>111</v>
      </c>
    </row>
    <row r="8">
      <c r="A8" t="inlineStr">
        <is>
          <t>VICERRECTORADO ACADEMICO</t>
        </is>
      </c>
      <c r="B8" t="inlineStr">
        <is>
          <t>FACULTAD DE DERECHO</t>
        </is>
      </c>
      <c r="C8" t="n">
        <v>109</v>
      </c>
    </row>
    <row r="9">
      <c r="A9" t="inlineStr">
        <is>
          <t>VICERRECTORADO ACADEMICO</t>
        </is>
      </c>
      <c r="B9" t="inlineStr">
        <is>
          <t>CENTER FOR LANGUAGE STUDIES</t>
        </is>
      </c>
      <c r="C9" t="n">
        <v>93</v>
      </c>
    </row>
    <row r="10">
      <c r="A10" t="inlineStr">
        <is>
          <t>VICERRECTORADO ACADEMICO</t>
        </is>
      </c>
      <c r="B10" t="inlineStr">
        <is>
          <t>FACULTAD DE COMUNICACIÓN</t>
        </is>
      </c>
      <c r="C10" t="n">
        <v>62</v>
      </c>
    </row>
    <row r="11">
      <c r="A11" t="inlineStr">
        <is>
          <t>VICERRECTORADO ACADEMICO</t>
        </is>
      </c>
      <c r="B11" t="inlineStr">
        <is>
          <t>FACULTAD DE ARQUITECTURA URBANISMO Y TERRITORIO</t>
        </is>
      </c>
      <c r="C11" t="n">
        <v>61</v>
      </c>
    </row>
    <row r="12">
      <c r="A12" t="inlineStr">
        <is>
          <t>VICERRECTORADO ACADEMICO</t>
        </is>
      </c>
      <c r="B12" t="inlineStr">
        <is>
          <t>DIRECCION DE ESTUDIOS GENERALES</t>
        </is>
      </c>
      <c r="C12" t="n">
        <v>34</v>
      </c>
    </row>
    <row r="13">
      <c r="A13" t="inlineStr">
        <is>
          <t>VICERRECTORADO ACADEMICO</t>
        </is>
      </c>
      <c r="B13" t="inlineStr">
        <is>
          <t>FACULTAD DE EDUCACION</t>
        </is>
      </c>
      <c r="C13" t="n">
        <v>26</v>
      </c>
    </row>
    <row r="14">
      <c r="A14" t="inlineStr">
        <is>
          <t>VICERRECTORADO ACADEMICO</t>
        </is>
      </c>
      <c r="B14" t="inlineStr">
        <is>
          <t>DIRECCION DE CALIDAD ACADEMICA, DOCENTE Y CURRICUL</t>
        </is>
      </c>
      <c r="C14" t="n">
        <v>14</v>
      </c>
    </row>
    <row r="15">
      <c r="A15" t="inlineStr">
        <is>
          <t>VICERRECTORADO ACADEMICO</t>
        </is>
      </c>
      <c r="B15" t="inlineStr">
        <is>
          <t>DIRECCION DEL FONDO EDITORIAL</t>
        </is>
      </c>
      <c r="C15" t="n">
        <v>7</v>
      </c>
    </row>
    <row r="16">
      <c r="A16" t="inlineStr">
        <is>
          <t>VICERRECTORADO ACADEMICO</t>
        </is>
      </c>
      <c r="B16" t="inlineStr">
        <is>
          <t>(sin área)</t>
        </is>
      </c>
      <c r="C16" t="n">
        <v>6</v>
      </c>
    </row>
    <row r="17">
      <c r="A17" t="inlineStr">
        <is>
          <t>ESCUELA DE POSGRADO</t>
        </is>
      </c>
      <c r="B17" t="inlineStr">
        <is>
          <t>DIRECCION ACADEMICA EPG</t>
        </is>
      </c>
      <c r="C17" t="n">
        <v>319</v>
      </c>
    </row>
    <row r="18">
      <c r="A18" t="inlineStr">
        <is>
          <t>ESCUELA DE POSGRADO</t>
        </is>
      </c>
      <c r="B18" t="inlineStr">
        <is>
          <t>DIRECCION DE EDUCACION EJECUTIVA</t>
        </is>
      </c>
      <c r="C18" t="n">
        <v>296</v>
      </c>
    </row>
    <row r="19">
      <c r="A19" t="inlineStr">
        <is>
          <t>ESCUELA DE POSGRADO</t>
        </is>
      </c>
      <c r="B19" t="inlineStr">
        <is>
          <t>SUBGERENCIA COMERCIAL EPG</t>
        </is>
      </c>
      <c r="C19" t="n">
        <v>42</v>
      </c>
    </row>
    <row r="20">
      <c r="A20" t="inlineStr">
        <is>
          <t>ESCUELA DE POSGRADO</t>
        </is>
      </c>
      <c r="B20" t="inlineStr">
        <is>
          <t>(sin área)</t>
        </is>
      </c>
      <c r="C20" t="n">
        <v>22</v>
      </c>
    </row>
    <row r="21">
      <c r="A21" t="inlineStr">
        <is>
          <t>ESCUELA DE POSGRADO</t>
        </is>
      </c>
      <c r="B21" t="inlineStr">
        <is>
          <t>DIRECCION DE PROYECTOS EDUCATIVOS</t>
        </is>
      </c>
      <c r="C21" t="n">
        <v>19</v>
      </c>
    </row>
    <row r="22">
      <c r="A22" t="inlineStr">
        <is>
          <t>ESCUELA DE POSGRADO</t>
        </is>
      </c>
      <c r="B22" t="inlineStr">
        <is>
          <t>JEFATURA DE VENTAS INSTITUCIONALES E INHOUSE</t>
        </is>
      </c>
      <c r="C22" t="n">
        <v>10</v>
      </c>
    </row>
    <row r="23">
      <c r="A23" t="inlineStr">
        <is>
          <t>ESCUELA DE POSGRADO</t>
        </is>
      </c>
      <c r="B23" t="inlineStr">
        <is>
          <t>SUBGERENCIA DE MARKETING EPG</t>
        </is>
      </c>
      <c r="C23" t="n">
        <v>10</v>
      </c>
    </row>
    <row r="24">
      <c r="A24" t="inlineStr">
        <is>
          <t>ESCUELA DE POSGRADO</t>
        </is>
      </c>
      <c r="B24" t="inlineStr">
        <is>
          <t>DIRECCIÓN DE UNIDAD DE SALUD EPG</t>
        </is>
      </c>
      <c r="C24" t="n">
        <v>1</v>
      </c>
    </row>
    <row r="25">
      <c r="A25" t="inlineStr">
        <is>
          <t>DIRECCION GENERAL DEL CSIR</t>
        </is>
      </c>
      <c r="B25" t="inlineStr">
        <is>
          <t>DIRECCION GENERAL ACADEMICA</t>
        </is>
      </c>
      <c r="C25" t="n">
        <v>301</v>
      </c>
    </row>
    <row r="26">
      <c r="A26" t="inlineStr">
        <is>
          <t>DIRECCION GENERAL DEL CSIR</t>
        </is>
      </c>
      <c r="B26" t="inlineStr">
        <is>
          <t>ADMINISTRATIVO</t>
        </is>
      </c>
      <c r="C26" t="n">
        <v>19</v>
      </c>
    </row>
    <row r="27">
      <c r="A27" t="inlineStr">
        <is>
          <t>DIRECCION GENERAL DEL CSIR</t>
        </is>
      </c>
      <c r="B27" t="inlineStr">
        <is>
          <t>(sin área)</t>
        </is>
      </c>
      <c r="C27" t="n">
        <v>2</v>
      </c>
    </row>
    <row r="28">
      <c r="A28" t="inlineStr">
        <is>
          <t>VICEPRESIDENCIA SENIOR</t>
        </is>
      </c>
      <c r="B28" t="inlineStr">
        <is>
          <t>GERENCIA COMERCIAL</t>
        </is>
      </c>
      <c r="C28" t="n">
        <v>188</v>
      </c>
    </row>
    <row r="29">
      <c r="A29" t="inlineStr">
        <is>
          <t>VICEPRESIDENCIA SENIOR</t>
        </is>
      </c>
      <c r="B29" t="inlineStr">
        <is>
          <t>GERENCIA DE PROYECTOS TI</t>
        </is>
      </c>
      <c r="C29" t="n">
        <v>72</v>
      </c>
    </row>
    <row r="30">
      <c r="A30" t="inlineStr">
        <is>
          <t>VICEPRESIDENCIA SENIOR</t>
        </is>
      </c>
      <c r="B30" t="inlineStr">
        <is>
          <t>GERENCIA DE EDUCACION VIRTUAL Y TEC. EDUCATIVA</t>
        </is>
      </c>
      <c r="C30" t="n">
        <v>30</v>
      </c>
    </row>
    <row r="31">
      <c r="A31" t="inlineStr">
        <is>
          <t>VICEPRESIDENCIA SENIOR</t>
        </is>
      </c>
      <c r="B31" t="inlineStr">
        <is>
          <t>(sin área)</t>
        </is>
      </c>
      <c r="C31" t="n">
        <v>1</v>
      </c>
    </row>
    <row r="32">
      <c r="A32" t="inlineStr">
        <is>
          <t>RECTORADO</t>
        </is>
      </c>
      <c r="B32" t="inlineStr">
        <is>
          <t>GERENCIA DE MODO USIL</t>
        </is>
      </c>
      <c r="C32" t="n">
        <v>160</v>
      </c>
    </row>
    <row r="33">
      <c r="A33" t="inlineStr">
        <is>
          <t>RECTORADO</t>
        </is>
      </c>
      <c r="B33" t="inlineStr">
        <is>
          <t>VICEPRESIDENCIA DE INTERNACIONALIZACION</t>
        </is>
      </c>
      <c r="C33" t="n">
        <v>58</v>
      </c>
    </row>
    <row r="34">
      <c r="A34" t="inlineStr">
        <is>
          <t>RECTORADO</t>
        </is>
      </c>
      <c r="B34" t="inlineStr">
        <is>
          <t>GERENCIA DE EMPLEABILIDAD E INNOVACION EDUCATIVA</t>
        </is>
      </c>
      <c r="C34" t="n">
        <v>11</v>
      </c>
    </row>
    <row r="35">
      <c r="A35" t="inlineStr">
        <is>
          <t>RECTORADO</t>
        </is>
      </c>
      <c r="B35" t="inlineStr">
        <is>
          <t>SECRETARIA GENERAL</t>
        </is>
      </c>
      <c r="C35" t="n">
        <v>8</v>
      </c>
    </row>
    <row r="36">
      <c r="A36" t="inlineStr">
        <is>
          <t>RECTORADO</t>
        </is>
      </c>
      <c r="B36" t="inlineStr">
        <is>
          <t>VICEPRESIDENCIA DE EMPRENDIMIENTO</t>
        </is>
      </c>
      <c r="C36" t="n">
        <v>6</v>
      </c>
    </row>
    <row r="37">
      <c r="A37" t="inlineStr">
        <is>
          <t>RECTORADO</t>
        </is>
      </c>
      <c r="B37" t="inlineStr">
        <is>
          <t>DIRECCION DE SOSTENIBILIDAD</t>
        </is>
      </c>
      <c r="C37" t="n">
        <v>6</v>
      </c>
    </row>
    <row r="38">
      <c r="A38" t="inlineStr">
        <is>
          <t>RECTORADO</t>
        </is>
      </c>
      <c r="B38" t="inlineStr">
        <is>
          <t>(sin área)</t>
        </is>
      </c>
      <c r="C38" t="n">
        <v>3</v>
      </c>
    </row>
    <row r="39">
      <c r="A39" t="inlineStr">
        <is>
          <t>GERENCIA DE ADMINISTRACION Y SEGURIDAD</t>
        </is>
      </c>
      <c r="B39" t="inlineStr">
        <is>
          <t>GERENCIA DE ADMINISTRACION</t>
        </is>
      </c>
      <c r="C39" t="n">
        <v>100</v>
      </c>
    </row>
    <row r="40">
      <c r="A40" t="inlineStr">
        <is>
          <t>GERENCIA DE ADMINISTRACION Y SEGURIDAD</t>
        </is>
      </c>
      <c r="B40" t="inlineStr">
        <is>
          <t>SUBGERENCIA DE SEGURIDAD</t>
        </is>
      </c>
      <c r="C40" t="n">
        <v>52</v>
      </c>
    </row>
    <row r="41">
      <c r="A41" t="inlineStr">
        <is>
          <t>GERENCIA DE ADMINISTRACION Y SEGURIDAD</t>
        </is>
      </c>
      <c r="B41" t="inlineStr">
        <is>
          <t>INFRAESTRUCTURA</t>
        </is>
      </c>
      <c r="C41" t="n">
        <v>3</v>
      </c>
    </row>
    <row r="42">
      <c r="A42" t="inlineStr">
        <is>
          <t>GERENCIA DE ADMINISTRACION Y SEGURIDAD</t>
        </is>
      </c>
      <c r="B42" t="inlineStr">
        <is>
          <t>(sin área)</t>
        </is>
      </c>
      <c r="C42" t="n">
        <v>1</v>
      </c>
    </row>
    <row r="43">
      <c r="A43" t="inlineStr">
        <is>
          <t>DIRECCION GENERAL DE SEDES DESCENTRALIZADAS</t>
        </is>
      </c>
      <c r="B43" t="inlineStr">
        <is>
          <t>INSTITUTO DE EMPRENDEDORES</t>
        </is>
      </c>
      <c r="C43" t="n">
        <v>153</v>
      </c>
    </row>
    <row r="44">
      <c r="A44" t="inlineStr">
        <is>
          <t>DIRECCION GENERAL DE SEDES DESCENTRALIZADAS</t>
        </is>
      </c>
      <c r="B44" t="inlineStr">
        <is>
          <t>(sin área)</t>
        </is>
      </c>
      <c r="C44" t="n">
        <v>1</v>
      </c>
    </row>
    <row r="45">
      <c r="A45" t="inlineStr">
        <is>
          <t>GERENCIA SENIOR DE FINANZAS</t>
        </is>
      </c>
      <c r="B45" t="inlineStr">
        <is>
          <t>SUBGERENCIA DE LOGISTICA</t>
        </is>
      </c>
      <c r="C45" t="n">
        <v>27</v>
      </c>
    </row>
    <row r="46">
      <c r="A46" t="inlineStr">
        <is>
          <t>GERENCIA SENIOR DE FINANZAS</t>
        </is>
      </c>
      <c r="B46" t="inlineStr">
        <is>
          <t>GERENCIA CORPORATIVO DE FACTURACIÓN, CRÉDITOS Y CO</t>
        </is>
      </c>
      <c r="C46" t="n">
        <v>26</v>
      </c>
    </row>
    <row r="47">
      <c r="A47" t="inlineStr">
        <is>
          <t>GERENCIA SENIOR DE FINANZAS</t>
        </is>
      </c>
      <c r="B47" t="inlineStr">
        <is>
          <t>CONTABILIDAD CORPORATIVA</t>
        </is>
      </c>
      <c r="C47" t="n">
        <v>26</v>
      </c>
    </row>
    <row r="48">
      <c r="A48" t="inlineStr">
        <is>
          <t>GERENCIA SENIOR DE FINANZAS</t>
        </is>
      </c>
      <c r="B48" t="inlineStr">
        <is>
          <t>GERENCIA DE PLANEAMIENTO FINANCIERO</t>
        </is>
      </c>
      <c r="C48" t="n">
        <v>12</v>
      </c>
    </row>
    <row r="49">
      <c r="A49" t="inlineStr">
        <is>
          <t>GERENCIA SENIOR DE FINANZAS</t>
        </is>
      </c>
      <c r="B49" t="inlineStr">
        <is>
          <t>SUBGERENCIA CORPORATIVA DE TESORERIA</t>
        </is>
      </c>
      <c r="C49" t="n">
        <v>9</v>
      </c>
    </row>
    <row r="50">
      <c r="A50" t="inlineStr">
        <is>
          <t>GERENCIA SENIOR DE FINANZAS</t>
        </is>
      </c>
      <c r="B50" t="inlineStr">
        <is>
          <t>(sin área)</t>
        </is>
      </c>
      <c r="C50" t="n">
        <v>1</v>
      </c>
    </row>
    <row r="51">
      <c r="A51" t="inlineStr">
        <is>
          <t>VICEPRESIDENCIA DE COMUNICACIONES E INNOVACION DIG</t>
        </is>
      </c>
      <c r="B51" t="inlineStr">
        <is>
          <t>SUBGERENCIA DE COMUNICACION CORPORATIVA</t>
        </is>
      </c>
      <c r="C51" t="n">
        <v>71</v>
      </c>
    </row>
    <row r="52">
      <c r="A52" t="inlineStr">
        <is>
          <t>VICEPRESIDENCIA DE COMUNICACIONES E INNOVACION DIG</t>
        </is>
      </c>
      <c r="B52" t="inlineStr">
        <is>
          <t>(sin área)</t>
        </is>
      </c>
      <c r="C52" t="n">
        <v>4</v>
      </c>
    </row>
    <row r="53">
      <c r="A53" t="inlineStr">
        <is>
          <t>VICEPRESIDENCIA DE COMUNICACIONES E INNOVACION DIG</t>
        </is>
      </c>
      <c r="B53" t="inlineStr">
        <is>
          <t>SUBGERENCIA DE COMUNICACIONES</t>
        </is>
      </c>
      <c r="C53" t="n">
        <v>4</v>
      </c>
    </row>
    <row r="54">
      <c r="A54" t="inlineStr">
        <is>
          <t>VICEPRESIDENCIA DE COMUNICACIONES E INNOVACION DIG</t>
        </is>
      </c>
      <c r="B54" t="inlineStr">
        <is>
          <t>JEFATURA DE PRENSA Y ANALISIS DE MEDIOS</t>
        </is>
      </c>
      <c r="C54" t="n">
        <v>3</v>
      </c>
    </row>
    <row r="55">
      <c r="A55" t="inlineStr">
        <is>
          <t>VICEPRESIDENCIA DE COMUNICACIONES E INNOVACION DIG</t>
        </is>
      </c>
      <c r="B55" t="inlineStr">
        <is>
          <t>JEFATURA DE PRODUCTO DIGITAL</t>
        </is>
      </c>
      <c r="C55" t="n">
        <v>2</v>
      </c>
    </row>
    <row r="56">
      <c r="A56" t="inlineStr">
        <is>
          <t>VICEPRESIDENCIA DE COMUNICACIONES E INNOVACION DIG</t>
        </is>
      </c>
      <c r="B56" t="inlineStr">
        <is>
          <t>JEFATURA DE INNOVACIÓN-HIFLEX</t>
        </is>
      </c>
      <c r="C56" t="n">
        <v>2</v>
      </c>
    </row>
    <row r="57">
      <c r="A57" t="inlineStr">
        <is>
          <t>VICERRECTORADO DE INVESTIGACION</t>
        </is>
      </c>
      <c r="B57" t="inlineStr">
        <is>
          <t>DIRECCION GESTION DE LA INVESTIGACION</t>
        </is>
      </c>
      <c r="C57" t="n">
        <v>49</v>
      </c>
    </row>
    <row r="58">
      <c r="A58" t="inlineStr">
        <is>
          <t>VICERRECTORADO DE INVESTIGACION</t>
        </is>
      </c>
      <c r="B58" t="inlineStr">
        <is>
          <t>INSTITUTO DE CIENCIAS DE LOS ALIMENTOS Y NUTRICION</t>
        </is>
      </c>
      <c r="C58" t="n">
        <v>7</v>
      </c>
    </row>
    <row r="59">
      <c r="A59" t="inlineStr">
        <is>
          <t>VICERRECTORADO DE INVESTIGACION</t>
        </is>
      </c>
      <c r="B59" t="inlineStr">
        <is>
          <t>(sin área)</t>
        </is>
      </c>
      <c r="C59" t="n">
        <v>2</v>
      </c>
    </row>
    <row r="60">
      <c r="A60" t="inlineStr">
        <is>
          <t>GERENCIA DE TALENTO Y CULTURA</t>
        </is>
      </c>
      <c r="B60" t="inlineStr">
        <is>
          <t>SUBGERENCIA DE GESTION HUMANA</t>
        </is>
      </c>
      <c r="C60" t="n">
        <v>18</v>
      </c>
    </row>
    <row r="61">
      <c r="A61" t="inlineStr">
        <is>
          <t>GERENCIA DE TALENTO Y CULTURA</t>
        </is>
      </c>
      <c r="B61" t="inlineStr">
        <is>
          <t>SUBGERENCIA DE CULTURA Y BENEFICIOS</t>
        </is>
      </c>
      <c r="C61" t="n">
        <v>15</v>
      </c>
    </row>
    <row r="62">
      <c r="A62" t="inlineStr">
        <is>
          <t>GERENCIA DE TALENTO Y CULTURA</t>
        </is>
      </c>
      <c r="B62" t="inlineStr">
        <is>
          <t>SUBGERENCIA DE TALENTO Y CULTURA</t>
        </is>
      </c>
      <c r="C62" t="n">
        <v>5</v>
      </c>
    </row>
    <row r="63">
      <c r="A63" t="inlineStr">
        <is>
          <t>GERENCIA DE TALENTO Y CULTURA</t>
        </is>
      </c>
      <c r="B63" t="inlineStr">
        <is>
          <t>ATRACCION DEL TALENTO</t>
        </is>
      </c>
      <c r="C63" t="n">
        <v>4</v>
      </c>
    </row>
    <row r="64">
      <c r="A64" t="inlineStr">
        <is>
          <t>GERENCIA DE TALENTO Y CULTURA</t>
        </is>
      </c>
      <c r="B64" t="inlineStr">
        <is>
          <t>GESTION DEL TALENTO</t>
        </is>
      </c>
      <c r="C64" t="n">
        <v>2</v>
      </c>
    </row>
    <row r="65">
      <c r="A65" t="inlineStr">
        <is>
          <t>GERENCIA DE TALENTO Y CULTURA</t>
        </is>
      </c>
      <c r="B65" t="inlineStr">
        <is>
          <t>(sin área)</t>
        </is>
      </c>
      <c r="C65" t="n">
        <v>2</v>
      </c>
    </row>
    <row r="66">
      <c r="A66" t="inlineStr">
        <is>
          <t>GERENCIA LEGAL</t>
        </is>
      </c>
      <c r="B66" t="inlineStr">
        <is>
          <t>(sin área)</t>
        </is>
      </c>
      <c r="C66" t="n">
        <v>9</v>
      </c>
    </row>
    <row r="67">
      <c r="A67" t="inlineStr">
        <is>
          <t>GERENCIA LEGAL</t>
        </is>
      </c>
      <c r="B67" t="inlineStr">
        <is>
          <t>DIRECCION DE ACREDITACION</t>
        </is>
      </c>
      <c r="C67" t="n">
        <v>6</v>
      </c>
    </row>
    <row r="68">
      <c r="A68" t="inlineStr">
        <is>
          <t>GERENCIA LEGAL</t>
        </is>
      </c>
      <c r="B68" t="inlineStr">
        <is>
          <t>LICENCIAMIENTO</t>
        </is>
      </c>
      <c r="C68" t="n">
        <v>6</v>
      </c>
    </row>
    <row r="69">
      <c r="A69" t="inlineStr">
        <is>
          <t>GERENCIA LEGAL</t>
        </is>
      </c>
      <c r="B69" t="inlineStr">
        <is>
          <t>ASUNTOS TRIBUTARIOS</t>
        </is>
      </c>
      <c r="C69" t="n">
        <v>2</v>
      </c>
    </row>
    <row r="70">
      <c r="A70" t="inlineStr">
        <is>
          <t>GERENCIA LEGAL</t>
        </is>
      </c>
      <c r="B70" t="inlineStr">
        <is>
          <t>CONVENIOS Y CONTRATOS</t>
        </is>
      </c>
      <c r="C70" t="n">
        <v>2</v>
      </c>
    </row>
    <row r="71">
      <c r="A71" t="inlineStr">
        <is>
          <t>PRESIDENCIA EJECUTIVA</t>
        </is>
      </c>
      <c r="B71" t="inlineStr">
        <is>
          <t>(sin área)</t>
        </is>
      </c>
      <c r="C71" t="n">
        <v>7</v>
      </c>
    </row>
    <row r="72">
      <c r="A72" t="inlineStr">
        <is>
          <t>VICEPRESIDENCIA DE ASUNTOS CORPORATIVOS</t>
        </is>
      </c>
      <c r="B72" t="inlineStr">
        <is>
          <t>ASUNTOS CORPORATIVOS</t>
        </is>
      </c>
      <c r="C72" t="n">
        <v>3</v>
      </c>
    </row>
    <row r="73">
      <c r="A73" t="inlineStr">
        <is>
          <t>VICEPRESIDENCIA DE ASUNTOS CORPORATIVOS</t>
        </is>
      </c>
      <c r="B73" t="inlineStr">
        <is>
          <t>(sin área)</t>
        </is>
      </c>
      <c r="C73" t="n">
        <v>2</v>
      </c>
    </row>
    <row r="74">
      <c r="A74" t="inlineStr">
        <is>
          <t>GERENCIA GENERAL</t>
        </is>
      </c>
      <c r="B74" t="inlineStr">
        <is>
          <t>AUDITORIA INTERNA</t>
        </is>
      </c>
      <c r="C74" t="n">
        <v>3</v>
      </c>
    </row>
    <row r="75">
      <c r="A75" t="inlineStr">
        <is>
          <t>GERENCIA GENERAL</t>
        </is>
      </c>
      <c r="B75" t="inlineStr">
        <is>
          <t>(sin área)</t>
        </is>
      </c>
      <c r="C75" t="n">
        <v>2</v>
      </c>
    </row>
    <row r="76">
      <c r="A76" t="inlineStr">
        <is>
          <t>GERENCIA DE PROYECTOS - SEDE PERU</t>
        </is>
      </c>
      <c r="B76" t="inlineStr">
        <is>
          <t>(sin área)</t>
        </is>
      </c>
      <c r="C76" t="n">
        <v>1</v>
      </c>
    </row>
  </sheetData>
  <autoFilter ref="A1:C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2026-10-05T21:57:31Z</dcterms:created>
  <dcterms:modified xmlns:dcterms="http://purl.org/dc/terms/" xmlns:xsi="http://www.w3.org/2001/XMLSchema-instance" xsi:type="dcterms:W3CDTF">2026-10-05T21:57:31Z</dcterms:modified>
</cp:coreProperties>
</file>